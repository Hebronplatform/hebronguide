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대시보드 요약" sheetId="1" state="visible" r:id="rId1"/>
    <sheet xmlns:r="http://schemas.openxmlformats.org/officeDocument/2006/relationships" name="Sheet" sheetId="2" state="visible" r:id="rId2"/>
    <sheet xmlns:r="http://schemas.openxmlformats.org/officeDocument/2006/relationships" name="파트너 모집" sheetId="3" state="visible" r:id="rId3"/>
    <sheet xmlns:r="http://schemas.openxmlformats.org/officeDocument/2006/relationships" name="호스트 가정" sheetId="4" state="visible" r:id="rId4"/>
    <sheet xmlns:r="http://schemas.openxmlformats.org/officeDocument/2006/relationships" name="방문자·매칭" sheetId="5" state="visible" r:id="rId5"/>
    <sheet xmlns:r="http://schemas.openxmlformats.org/officeDocument/2006/relationships" name="만족도" sheetId="6" state="visible" r:id="rId6"/>
    <sheet xmlns:r="http://schemas.openxmlformats.org/officeDocument/2006/relationships" name="안전·운영" sheetId="7" state="visible" r:id="rId7"/>
    <sheet xmlns:r="http://schemas.openxmlformats.org/officeDocument/2006/relationships" name="콘텐츠·S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  <color rgb="001F4E79"/>
      <sz val="11"/>
    </font>
    <font/>
    <font>
      <b val="1"/>
    </font>
    <font>
      <b val="1"/>
      <color rgb="00FFFFFF"/>
      <sz val="16"/>
    </font>
    <font>
      <i val="1"/>
      <color rgb="001F4E79"/>
      <sz val="10"/>
    </font>
    <font>
      <b val="1"/>
      <color rgb="00FFFFFF"/>
      <sz val="12"/>
    </font>
    <font>
      <i val="1"/>
      <sz val="10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D6E4F0"/>
        <bgColor rgb="00D6E4F0"/>
      </patternFill>
    </fill>
    <fill>
      <patternFill patternType="solid">
        <fgColor rgb="00FDFEFE"/>
        <bgColor rgb="00FDFEFE"/>
      </patternFill>
    </fill>
    <fill>
      <patternFill patternType="solid">
        <fgColor rgb="00FFF2CC"/>
        <bgColor rgb="00FFF2CC"/>
      </patternFill>
    </fill>
    <fill>
      <patternFill patternType="solid">
        <fgColor rgb="00EBF5FB"/>
        <bgColor rgb="00EBF5FB"/>
      </patternFill>
    </fill>
    <fill>
      <patternFill patternType="solid">
        <fgColor rgb="00F2F2F2"/>
        <bgColor rgb="00F2F2F2"/>
      </patternFill>
    </fill>
  </fills>
  <borders count="2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 style="medium">
        <color rgb="00000000"/>
      </bottom>
    </border>
    <border>
      <left/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5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  <xf numFmtId="0" fontId="1" fillId="2" borderId="7" applyAlignment="1" pivotButton="0" quotePrefix="0" xfId="0">
      <alignment horizontal="center"/>
    </xf>
    <xf numFmtId="0" fontId="2" fillId="3" borderId="2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4" applyAlignment="1" pivotButton="0" quotePrefix="0" xfId="0">
      <alignment horizontal="center"/>
    </xf>
    <xf numFmtId="0" fontId="3" fillId="4" borderId="1" applyAlignment="1" pivotButton="0" quotePrefix="0" xfId="0">
      <alignment horizontal="left"/>
    </xf>
    <xf numFmtId="0" fontId="4" fillId="5" borderId="1" pivotButton="0" quotePrefix="0" xfId="0"/>
    <xf numFmtId="1" fontId="5" fillId="5" borderId="1" applyAlignment="1" pivotButton="0" quotePrefix="0" xfId="0">
      <alignment horizontal="center"/>
    </xf>
    <xf numFmtId="1" fontId="0" fillId="5" borderId="1" applyAlignment="1" pivotButton="0" quotePrefix="0" xfId="0">
      <alignment horizontal="center"/>
    </xf>
    <xf numFmtId="1" fontId="5" fillId="7" borderId="1" applyAlignment="1" pivotButton="0" quotePrefix="0" xfId="0">
      <alignment horizontal="center"/>
    </xf>
    <xf numFmtId="164" fontId="5" fillId="0" borderId="1" applyAlignment="1" pivotButton="0" quotePrefix="0" xfId="0">
      <alignment horizontal="center"/>
    </xf>
    <xf numFmtId="0" fontId="0" fillId="0" borderId="1" pivotButton="0" quotePrefix="0" xfId="0"/>
    <xf numFmtId="9" fontId="5" fillId="5" borderId="1" applyAlignment="1" pivotButton="0" quotePrefix="0" xfId="0">
      <alignment horizontal="center"/>
    </xf>
    <xf numFmtId="9" fontId="0" fillId="5" borderId="1" applyAlignment="1" pivotButton="0" quotePrefix="0" xfId="0">
      <alignment horizontal="center"/>
    </xf>
    <xf numFmtId="9" fontId="5" fillId="7" borderId="1" applyAlignment="1" pivotButton="0" quotePrefix="0" xfId="0">
      <alignment horizontal="center"/>
    </xf>
    <xf numFmtId="165" fontId="5" fillId="5" borderId="1" applyAlignment="1" pivotButton="0" quotePrefix="0" xfId="0">
      <alignment horizontal="center"/>
    </xf>
    <xf numFmtId="165" fontId="0" fillId="5" borderId="1" applyAlignment="1" pivotButton="0" quotePrefix="0" xfId="0">
      <alignment horizontal="center"/>
    </xf>
    <xf numFmtId="165" fontId="5" fillId="7" borderId="1" applyAlignment="1" pivotButton="0" quotePrefix="0" xfId="0">
      <alignment horizontal="center"/>
    </xf>
    <xf numFmtId="3" fontId="5" fillId="5" borderId="1" applyAlignment="1" pivotButton="0" quotePrefix="0" xfId="0">
      <alignment horizontal="center"/>
    </xf>
    <xf numFmtId="3" fontId="0" fillId="5" borderId="1" applyAlignment="1" pivotButton="0" quotePrefix="0" xfId="0">
      <alignment horizontal="center"/>
    </xf>
    <xf numFmtId="3" fontId="5" fillId="7" borderId="1" applyAlignment="1" pivotButton="0" quotePrefix="0" xfId="0">
      <alignment horizontal="center"/>
    </xf>
    <xf numFmtId="164" fontId="5" fillId="5" borderId="1" applyAlignment="1" pivotButton="0" quotePrefix="0" xfId="0">
      <alignment horizontal="center"/>
    </xf>
    <xf numFmtId="164" fontId="0" fillId="5" borderId="1" applyAlignment="1" pivotButton="0" quotePrefix="0" xfId="0">
      <alignment horizontal="center"/>
    </xf>
    <xf numFmtId="164" fontId="5" fillId="7" borderId="1" applyAlignment="1" pivotButton="0" quotePrefix="0" xfId="0">
      <alignment horizontal="center"/>
    </xf>
    <xf numFmtId="0" fontId="6" fillId="2" borderId="0" applyAlignment="1" pivotButton="0" quotePrefix="0" xfId="0">
      <alignment horizontal="center"/>
    </xf>
    <xf numFmtId="0" fontId="7" fillId="4" borderId="0" applyAlignment="1" pivotButton="0" quotePrefix="0" xfId="0">
      <alignment horizontal="center"/>
    </xf>
    <xf numFmtId="0" fontId="8" fillId="3" borderId="0" applyAlignment="1" pivotButton="0" quotePrefix="0" xfId="0">
      <alignment horizontal="left"/>
    </xf>
    <xf numFmtId="0" fontId="0" fillId="7" borderId="17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164" fontId="5" fillId="7" borderId="18" applyAlignment="1" pivotButton="0" quotePrefix="0" xfId="0">
      <alignment horizontal="center"/>
    </xf>
    <xf numFmtId="0" fontId="0" fillId="5" borderId="17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164" fontId="5" fillId="5" borderId="18" applyAlignment="1" pivotButton="0" quotePrefix="0" xfId="0">
      <alignment horizontal="center"/>
    </xf>
    <xf numFmtId="0" fontId="0" fillId="5" borderId="19" applyAlignment="1" pivotButton="0" quotePrefix="0" xfId="0">
      <alignment horizontal="center"/>
    </xf>
    <xf numFmtId="0" fontId="0" fillId="5" borderId="20" applyAlignment="1" pivotButton="0" quotePrefix="0" xfId="0">
      <alignment horizontal="center"/>
    </xf>
    <xf numFmtId="165" fontId="5" fillId="5" borderId="20" applyAlignment="1" pivotButton="0" quotePrefix="0" xfId="0">
      <alignment horizontal="center"/>
    </xf>
    <xf numFmtId="164" fontId="5" fillId="5" borderId="21" applyAlignment="1" pivotButton="0" quotePrefix="0" xfId="0">
      <alignment horizontal="center"/>
    </xf>
    <xf numFmtId="1" fontId="5" fillId="7" borderId="18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1" fontId="5" fillId="0" borderId="1" applyAlignment="1" pivotButton="0" quotePrefix="0" xfId="0">
      <alignment horizontal="center"/>
    </xf>
    <xf numFmtId="1" fontId="5" fillId="0" borderId="18" applyAlignment="1" pivotButton="0" quotePrefix="0" xfId="0">
      <alignment horizontal="center"/>
    </xf>
    <xf numFmtId="0" fontId="0" fillId="0" borderId="19" applyAlignment="1" pivotButton="0" quotePrefix="0" xfId="0">
      <alignment horizontal="center"/>
    </xf>
    <xf numFmtId="1" fontId="5" fillId="0" borderId="20" applyAlignment="1" pivotButton="0" quotePrefix="0" xfId="0">
      <alignment horizontal="center"/>
    </xf>
    <xf numFmtId="1" fontId="5" fillId="0" borderId="21" applyAlignment="1" pivotButton="0" quotePrefix="0" xfId="0">
      <alignment horizontal="center"/>
    </xf>
    <xf numFmtId="0" fontId="9" fillId="8" borderId="0" applyAlignment="1" pivotButton="0" quotePrefix="0" xfId="0">
      <alignment horizontal="center"/>
    </xf>
    <xf numFmtId="0" fontId="1" fillId="2" borderId="8" applyAlignment="1" pivotButton="0" quotePrefix="0" xfId="0">
      <alignment horizontal="center"/>
    </xf>
    <xf numFmtId="0" fontId="0" fillId="0" borderId="11" pivotButton="0" quotePrefix="0" xfId="0"/>
    <xf numFmtId="0" fontId="0" fillId="0" borderId="12" pivotButton="0" quotePrefix="0" xfId="0"/>
    <xf numFmtId="0" fontId="0" fillId="0" borderId="15" pivotButton="0" quotePrefix="0" xfId="0"/>
    <xf numFmtId="0" fontId="0" fillId="0" borderId="16" pivotButton="0" quotePrefix="0" xfId="0"/>
  </cellXfs>
  <cellStyles count="1">
    <cellStyle name="Normal" xfId="0" builtinId="0" hidden="0"/>
  </cellStyles>
  <dxfs count="3"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ont>
        <b val="1"/>
        <color rgb="009C5700"/>
      </font>
      <fill>
        <patternFill patternType="solid">
          <fgColor rgb="00FFEB9C"/>
          <bgColor rgb="00FFEB9C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/><Relationship Type="http://schemas.openxmlformats.org/officeDocument/2006/relationships/worksheet" Target="worksheets/sheet2.xml" Id="rId2"/><Relationship Type="http://schemas.openxmlformats.org/officeDocument/2006/relationships/worksheet" Target="worksheets/sheet3.xml" Id="rId3"/><Relationship Type="http://schemas.openxmlformats.org/officeDocument/2006/relationships/worksheet" Target="worksheets/sheet4.xml" Id="rId4"/><Relationship Type="http://schemas.openxmlformats.org/officeDocument/2006/relationships/worksheet" Target="worksheets/sheet5.xml" Id="rId5"/><Relationship Type="http://schemas.openxmlformats.org/officeDocument/2006/relationships/worksheet" Target="worksheets/sheet6.xml" Id="rId6"/><Relationship Type="http://schemas.openxmlformats.org/officeDocument/2006/relationships/worksheet" Target="worksheets/sheet7.xml" Id="rId7"/><Relationship Type="http://schemas.openxmlformats.org/officeDocument/2006/relationships/worksheet" Target="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rPr sz="1100" b="1"/>
              <a:t>카테고리별 목표 대비 실적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'대시보드 요약'!B14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cat>
            <numRef>
              <f>'대시보드 요약'!$A$15:$A$18</f>
            </numRef>
          </cat>
          <val>
            <numRef>
              <f>'대시보드 요약'!$B$15:$B$18</f>
            </numRef>
          </val>
        </ser>
        <ser>
          <idx val="1"/>
          <order val="1"/>
          <tx>
            <strRef>
              <f>'대시보드 요약'!C14</f>
            </strRef>
          </tx>
          <spPr>
            <a:solidFill xmlns:a="http://schemas.openxmlformats.org/drawingml/2006/main">
              <a:srgbClr val="70AD47"/>
            </a:solidFill>
            <a:ln xmlns:a="http://schemas.openxmlformats.org/drawingml/2006/main">
              <a:prstDash val="solid"/>
            </a:ln>
          </spPr>
          <cat>
            <numRef>
              <f>'대시보드 요약'!$A$15:$A$18</f>
            </numRef>
          </cat>
          <val>
            <numRef>
              <f>'대시보드 요약'!$C$15:$C$18</f>
            </numRef>
          </val>
        </ser>
        <dLbls>
          <showVal val="0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rPr sz="1000" b="1"/>
                  <a:t>카테고리</a:t>
                </a:r>
              </a:p>
            </rich>
          </tx>
          <overlay val="0"/>
        </title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000" b="0"/>
            </a:pPr>
            <a:r>
              <a:t/>
            </a: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rPr sz="1000" b="1"/>
                  <a:t>건수 (곳/가구/건)</a:t>
                </a:r>
              </a:p>
            </rich>
          </tx>
          <overlay val="0"/>
        </title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000" b="0"/>
            </a:pPr>
            <a:r>
              <a:t/>
            </a:r>
          </a:p>
        </txPr>
        <crossAx val="10"/>
      </valAx>
    </plotArea>
    <legend>
      <legendPos val="r"/>
      <overlay val="0"/>
      <txPr>
        <a:bodyPr xmlns:a="http://schemas.openxmlformats.org/drawingml/2006/main"/>
        <a:p xmlns:a="http://schemas.openxmlformats.org/drawingml/2006/main">
          <a:pPr>
            <a:defRPr sz="1000" b="0"/>
          </a:pPr>
          <a:r>
            <a:t/>
          </a:r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..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13</row>
      <rowOff>0</rowOff>
    </from>
    <ext cx="720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..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 ht="36" customHeight="1">
      <c r="A1" s="26" t="inlineStr">
        <is>
          <t>HebronGuide 파일럿 6주 KPI 대시보드 — 요약</t>
        </is>
      </c>
      <c r="B1" s="26" t="n"/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26" t="n"/>
      <c r="M1" s="26" t="n"/>
      <c r="N1" s="26" t="n"/>
    </row>
    <row r="2" ht="18" customHeight="1">
      <c r="A2" s="27" t="inlineStr">
        <is>
          <t>파일럿 기간: 6주  |  작성일: 2026-06-13  |  담당: HebronGuide 운영팀</t>
        </is>
      </c>
      <c r="B2" s="27" t="n"/>
      <c r="C2" s="27" t="n"/>
      <c r="D2" s="27" t="n"/>
      <c r="E2" s="27" t="n"/>
      <c r="F2" s="27" t="n"/>
      <c r="G2" s="27" t="n"/>
      <c r="H2" s="27" t="n"/>
      <c r="I2" s="27" t="n"/>
      <c r="J2" s="27" t="n"/>
      <c r="K2" s="27" t="n"/>
      <c r="L2" s="27" t="n"/>
      <c r="M2" s="27" t="n"/>
      <c r="N2" s="27" t="n"/>
    </row>
    <row r="3"/>
    <row r="4" ht="24" customHeight="1">
      <c r="A4" s="28" t="inlineStr">
        <is>
          <t>📌 핵심 KPI 목표 요약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</row>
    <row r="5">
      <c r="A5" s="4" t="inlineStr">
        <is>
          <t>카테고리</t>
        </is>
      </c>
      <c r="B5" s="5" t="inlineStr">
        <is>
          <t>KPI 항목</t>
        </is>
      </c>
      <c r="C5" s="5" t="inlineStr">
        <is>
          <t>목표값</t>
        </is>
      </c>
      <c r="D5" s="5" t="inlineStr">
        <is>
          <t>현재 누적 실적</t>
        </is>
      </c>
      <c r="E5" s="6" t="inlineStr">
        <is>
          <t>목표 달성률 (%)</t>
        </is>
      </c>
    </row>
    <row r="6">
      <c r="A6" s="29" t="inlineStr">
        <is>
          <t>파트너 모집</t>
        </is>
      </c>
      <c r="B6" s="30" t="inlineStr">
        <is>
          <t>교회 파트너 (곳)</t>
        </is>
      </c>
      <c r="C6" s="19">
        <f>'파트너 모집'!B3</f>
        <v/>
      </c>
      <c r="D6" s="19">
        <f>'파트너 모집'!H3</f>
        <v/>
      </c>
      <c r="E6" s="31">
        <f>'파트너 모집'!I3</f>
        <v/>
      </c>
    </row>
    <row r="7">
      <c r="A7" s="32" t="inlineStr">
        <is>
          <t>파트너 모집</t>
        </is>
      </c>
      <c r="B7" s="33" t="inlineStr">
        <is>
          <t>사업체 파트너 (곳)</t>
        </is>
      </c>
      <c r="C7" s="17">
        <f>'파트너 모집'!B4</f>
        <v/>
      </c>
      <c r="D7" s="17">
        <f>'파트너 모집'!H4</f>
        <v/>
      </c>
      <c r="E7" s="34">
        <f>'파트너 모집'!I4</f>
        <v/>
      </c>
    </row>
    <row r="8">
      <c r="A8" s="29" t="inlineStr">
        <is>
          <t>호스트 가정</t>
        </is>
      </c>
      <c r="B8" s="30" t="inlineStr">
        <is>
          <t>신원 검증 승인 (가구)</t>
        </is>
      </c>
      <c r="C8" s="19">
        <f>'호스트 가정'!B4</f>
        <v/>
      </c>
      <c r="D8" s="19">
        <f>'호스트 가정'!H4</f>
        <v/>
      </c>
      <c r="E8" s="31">
        <f>'호스트 가정'!I4</f>
        <v/>
      </c>
    </row>
    <row r="9">
      <c r="A9" s="32" t="inlineStr">
        <is>
          <t>방문자·매칭</t>
        </is>
      </c>
      <c r="B9" s="33" t="inlineStr">
        <is>
          <t>매칭 성사 건수 (건)</t>
        </is>
      </c>
      <c r="C9" s="17">
        <f>'방문자·매칭'!B5</f>
        <v/>
      </c>
      <c r="D9" s="17">
        <f>'방문자·매칭'!H5</f>
        <v/>
      </c>
      <c r="E9" s="34">
        <f>'방문자·매칭'!I5</f>
        <v/>
      </c>
    </row>
    <row r="10">
      <c r="A10" s="29" t="inlineStr">
        <is>
          <t>만족도</t>
        </is>
      </c>
      <c r="B10" s="30" t="inlineStr">
        <is>
          <t>방문자 만족도 평균 (점)</t>
        </is>
      </c>
      <c r="C10" s="19">
        <f>'만족도'!B3</f>
        <v/>
      </c>
      <c r="D10" s="19">
        <f>'만족도'!H3</f>
        <v/>
      </c>
      <c r="E10" s="31">
        <f>'만족도'!I3</f>
        <v/>
      </c>
    </row>
    <row r="11">
      <c r="A11" s="35" t="inlineStr">
        <is>
          <t>콘텐츠·SNS</t>
        </is>
      </c>
      <c r="B11" s="36" t="inlineStr">
        <is>
          <t>참여율 engagement rate (%)</t>
        </is>
      </c>
      <c r="C11" s="37">
        <f>'콘텐츠·SNS'!B6</f>
        <v/>
      </c>
      <c r="D11" s="37">
        <f>'콘텐츠·SNS'!H6</f>
        <v/>
      </c>
      <c r="E11" s="38">
        <f>'콘텐츠·SNS'!I6</f>
        <v/>
      </c>
    </row>
    <row r="12"/>
    <row r="13" ht="24" customHeight="1">
      <c r="A13" s="28" t="inlineStr">
        <is>
          <t>📊 목표 대비 실적 현황 (4개 카테고리 막대그래프)</t>
        </is>
      </c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</row>
    <row r="14">
      <c r="A14" s="4" t="inlineStr">
        <is>
          <t>카테고리</t>
        </is>
      </c>
      <c r="B14" s="5" t="inlineStr">
        <is>
          <t>목표</t>
        </is>
      </c>
      <c r="C14" s="6" t="inlineStr">
        <is>
          <t>현재 실적</t>
        </is>
      </c>
    </row>
    <row r="15">
      <c r="A15" s="29" t="inlineStr">
        <is>
          <t>교회 파트너 (곳)</t>
        </is>
      </c>
      <c r="B15" s="11">
        <f>'파트너 모집'!B3</f>
        <v/>
      </c>
      <c r="C15" s="39">
        <f>'파트너 모집'!H3</f>
        <v/>
      </c>
    </row>
    <row r="16">
      <c r="A16" s="40" t="inlineStr">
        <is>
          <t>사업체 파트너 (곳)</t>
        </is>
      </c>
      <c r="B16" s="41">
        <f>'파트너 모집'!B4</f>
        <v/>
      </c>
      <c r="C16" s="42">
        <f>'파트너 모집'!H4</f>
        <v/>
      </c>
    </row>
    <row r="17">
      <c r="A17" s="29" t="inlineStr">
        <is>
          <t>호스트 가정 승인 (가구)</t>
        </is>
      </c>
      <c r="B17" s="11">
        <f>'호스트 가정'!B4</f>
        <v/>
      </c>
      <c r="C17" s="39">
        <f>'호스트 가정'!H4</f>
        <v/>
      </c>
    </row>
    <row r="18">
      <c r="A18" s="43" t="inlineStr">
        <is>
          <t>매칭 성사 (건)</t>
        </is>
      </c>
      <c r="B18" s="44">
        <f>'방문자·매칭'!B5</f>
        <v/>
      </c>
      <c r="C18" s="45">
        <f>'방문자·매칭'!H5</f>
        <v/>
      </c>
    </row>
    <row r="19"/>
    <row r="20"/>
    <row r="21"/>
    <row r="22"/>
    <row r="23"/>
    <row r="24"/>
    <row r="25"/>
    <row r="26"/>
    <row r="27"/>
    <row r="28"/>
    <row r="29"/>
    <row r="30"/>
    <row r="31"/>
    <row r="32">
      <c r="A32" s="46" t="inlineStr">
        <is>
          <t>🟢 달성률 100% 이상  🟡 달성률 70~99%  🔴 달성률 70% 미만</t>
        </is>
      </c>
      <c r="B32" s="46" t="n"/>
      <c r="C32" s="46" t="n"/>
      <c r="D32" s="46" t="n"/>
      <c r="E32" s="46" t="n"/>
      <c r="F32" s="46" t="n"/>
      <c r="G32" s="46" t="n"/>
      <c r="H32" s="46" t="n"/>
      <c r="I32" s="46" t="n"/>
      <c r="J32" s="46" t="n"/>
      <c r="K32" s="46" t="n"/>
      <c r="L32" s="46" t="n"/>
      <c r="M32" s="46" t="n"/>
      <c r="N32" s="46" t="n"/>
    </row>
  </sheetData>
  <mergeCells count="5">
    <mergeCell ref="A4:N4"/>
    <mergeCell ref="A2:N2"/>
    <mergeCell ref="A32:N32"/>
    <mergeCell ref="A13:N13"/>
    <mergeCell ref="A1:N1"/>
  </mergeCells>
  <conditionalFormatting sqref="E6:E11">
    <cfRule type="cellIs" priority="1" operator="greaterThanOrEqual" dxfId="0">
      <formula>1</formula>
    </cfRule>
    <cfRule type="cellIs" priority="2" operator="between" dxfId="1">
      <formula>0.7</formula>
      <formula>0.9999</formula>
    </cfRule>
    <cfRule type="cellIs" priority="3" operator="lessThan" dxfId="2">
      <formula>0.7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4" customWidth="1" min="8" max="8"/>
    <col width="16" customWidth="1" min="9" max="9"/>
  </cols>
  <sheetData>
    <row r="1" ht="30" customHeight="1">
      <c r="A1" s="47" t="inlineStr">
        <is>
          <t>HebronGuide 파일럿 6주 KPI 대시보드 — 파트너 모집</t>
        </is>
      </c>
      <c r="B1" s="48" t="n"/>
      <c r="C1" s="48" t="n"/>
      <c r="D1" s="48" t="n"/>
      <c r="E1" s="48" t="n"/>
      <c r="F1" s="48" t="n"/>
      <c r="G1" s="48" t="n"/>
      <c r="H1" s="48" t="n"/>
      <c r="I1" s="48" t="n"/>
      <c r="J1" s="49" t="n"/>
    </row>
    <row r="2" ht="22" customHeight="1">
      <c r="A2" s="4" t="inlineStr">
        <is>
          <t>KPI 항목</t>
        </is>
      </c>
      <c r="B2" s="5" t="inlineStr">
        <is>
          <t>목표값</t>
        </is>
      </c>
      <c r="C2" s="5" t="inlineStr">
        <is>
          <t>1주차</t>
        </is>
      </c>
      <c r="D2" s="5" t="inlineStr">
        <is>
          <t>2주차</t>
        </is>
      </c>
      <c r="E2" s="5" t="inlineStr">
        <is>
          <t>3주차</t>
        </is>
      </c>
      <c r="F2" s="5" t="inlineStr">
        <is>
          <t>4주차</t>
        </is>
      </c>
      <c r="G2" s="5" t="inlineStr">
        <is>
          <t>5주차</t>
        </is>
      </c>
      <c r="H2" s="5" t="inlineStr">
        <is>
          <t>6주차</t>
        </is>
      </c>
      <c r="I2" s="5" t="inlineStr">
        <is>
          <t>6주 누적합계</t>
        </is>
      </c>
      <c r="J2" s="6" t="inlineStr">
        <is>
          <t>목표 달성률 (%)</t>
        </is>
      </c>
    </row>
    <row r="3" ht="22" customHeight="1">
      <c r="A3" s="7" t="inlineStr">
        <is>
          <t>파트너 모집 KPI</t>
        </is>
      </c>
      <c r="B3" s="50" t="n"/>
      <c r="C3" s="50" t="n"/>
      <c r="D3" s="50" t="n"/>
      <c r="E3" s="50" t="n"/>
      <c r="F3" s="50" t="n"/>
      <c r="G3" s="50" t="n"/>
      <c r="H3" s="50" t="n"/>
      <c r="I3" s="50" t="n"/>
      <c r="J3" s="51" t="n"/>
    </row>
    <row r="4" ht="20" customHeight="1">
      <c r="A4" s="8" t="inlineStr">
        <is>
          <t>교회 파트너 (곳)</t>
        </is>
      </c>
      <c r="B4" s="9" t="inlineStr"/>
      <c r="C4" s="10" t="inlineStr"/>
      <c r="D4" s="10" t="inlineStr"/>
      <c r="E4" s="10" t="inlineStr"/>
      <c r="F4" s="10" t="inlineStr"/>
      <c r="G4" s="10" t="inlineStr"/>
      <c r="H4" s="11">
        <f>SUM(C4:G4)</f>
        <v/>
      </c>
      <c r="I4" s="12">
        <f>IF(B4=0,"",IFERROR(H4/B4,""))</f>
        <v/>
      </c>
      <c r="J4" s="13" t="n"/>
    </row>
    <row r="5" ht="20" customHeight="1">
      <c r="A5" s="8" t="inlineStr">
        <is>
          <t>사업체 파트너 (곳)</t>
        </is>
      </c>
      <c r="B5" s="9" t="inlineStr"/>
      <c r="C5" s="10" t="inlineStr"/>
      <c r="D5" s="10" t="inlineStr"/>
      <c r="E5" s="10" t="inlineStr"/>
      <c r="F5" s="10" t="inlineStr"/>
      <c r="G5" s="10" t="inlineStr"/>
      <c r="H5" s="11">
        <f>SUM(C5:G5)</f>
        <v/>
      </c>
      <c r="I5" s="12">
        <f>IF(B5=0,"",IFERROR(H5/B5,""))</f>
        <v/>
      </c>
      <c r="J5" s="13" t="n"/>
    </row>
    <row r="6" ht="20" customHeight="1">
      <c r="A6" s="8" t="inlineStr">
        <is>
          <t>합의서 서명률 (%)</t>
        </is>
      </c>
      <c r="B6" s="14" t="inlineStr"/>
      <c r="C6" s="15" t="inlineStr"/>
      <c r="D6" s="15" t="inlineStr"/>
      <c r="E6" s="15" t="inlineStr"/>
      <c r="F6" s="15" t="inlineStr"/>
      <c r="G6" s="15" t="inlineStr"/>
      <c r="H6" s="16">
        <f>SUM(C6:G6)</f>
        <v/>
      </c>
      <c r="I6" s="12">
        <f>IF(B6=0,"",IFERROR(H6/B6,""))</f>
        <v/>
      </c>
      <c r="J6" s="13" t="n"/>
    </row>
  </sheetData>
  <mergeCells count="2">
    <mergeCell ref="A1:J1"/>
    <mergeCell ref="A3:J3"/>
  </mergeCells>
  <conditionalFormatting sqref="I3:I5">
    <cfRule type="cellIs" priority="1" operator="greaterThanOrEqual" dxfId="0">
      <formula>1</formula>
    </cfRule>
    <cfRule type="cellIs" priority="2" operator="between" dxfId="1">
      <formula>0.7</formula>
      <formula>0.9999</formula>
    </cfRule>
    <cfRule type="cellIs" priority="3" operator="lessThan" dxfId="2">
      <formula>0.7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4" customWidth="1" min="8" max="8"/>
    <col width="16" customWidth="1" min="9" max="9"/>
  </cols>
  <sheetData>
    <row r="1" ht="30" customHeight="1">
      <c r="A1" s="47" t="inlineStr">
        <is>
          <t>HebronGuide 파일럿 6주 KPI 대시보드 — 호스트 가정</t>
        </is>
      </c>
      <c r="B1" s="48" t="n"/>
      <c r="C1" s="48" t="n"/>
      <c r="D1" s="48" t="n"/>
      <c r="E1" s="48" t="n"/>
      <c r="F1" s="48" t="n"/>
      <c r="G1" s="48" t="n"/>
      <c r="H1" s="48" t="n"/>
      <c r="I1" s="48" t="n"/>
      <c r="J1" s="49" t="n"/>
    </row>
    <row r="2" ht="22" customHeight="1">
      <c r="A2" s="4" t="inlineStr">
        <is>
          <t>KPI 항목</t>
        </is>
      </c>
      <c r="B2" s="5" t="inlineStr">
        <is>
          <t>목표값</t>
        </is>
      </c>
      <c r="C2" s="5" t="inlineStr">
        <is>
          <t>1주차</t>
        </is>
      </c>
      <c r="D2" s="5" t="inlineStr">
        <is>
          <t>2주차</t>
        </is>
      </c>
      <c r="E2" s="5" t="inlineStr">
        <is>
          <t>3주차</t>
        </is>
      </c>
      <c r="F2" s="5" t="inlineStr">
        <is>
          <t>4주차</t>
        </is>
      </c>
      <c r="G2" s="5" t="inlineStr">
        <is>
          <t>5주차</t>
        </is>
      </c>
      <c r="H2" s="5" t="inlineStr">
        <is>
          <t>6주차</t>
        </is>
      </c>
      <c r="I2" s="5" t="inlineStr">
        <is>
          <t>6주 누적합계</t>
        </is>
      </c>
      <c r="J2" s="6" t="inlineStr">
        <is>
          <t>목표 달성률 (%)</t>
        </is>
      </c>
    </row>
    <row r="3" ht="22" customHeight="1">
      <c r="A3" s="7" t="inlineStr">
        <is>
          <t>호스트 가정 KPI</t>
        </is>
      </c>
      <c r="B3" s="50" t="n"/>
      <c r="C3" s="50" t="n"/>
      <c r="D3" s="50" t="n"/>
      <c r="E3" s="50" t="n"/>
      <c r="F3" s="50" t="n"/>
      <c r="G3" s="50" t="n"/>
      <c r="H3" s="50" t="n"/>
      <c r="I3" s="50" t="n"/>
      <c r="J3" s="51" t="n"/>
    </row>
    <row r="4" ht="20" customHeight="1">
      <c r="A4" s="8" t="inlineStr">
        <is>
          <t>신원 검증 신청 건수 (건)</t>
        </is>
      </c>
      <c r="B4" s="9" t="inlineStr"/>
      <c r="C4" s="10" t="inlineStr"/>
      <c r="D4" s="10" t="inlineStr"/>
      <c r="E4" s="10" t="inlineStr"/>
      <c r="F4" s="10" t="inlineStr"/>
      <c r="G4" s="10" t="inlineStr"/>
      <c r="H4" s="11">
        <f>SUM(C4:G4)</f>
        <v/>
      </c>
      <c r="I4" s="13" t="inlineStr"/>
      <c r="J4" s="13" t="n"/>
    </row>
    <row r="5" ht="20" customHeight="1">
      <c r="A5" s="8" t="inlineStr">
        <is>
          <t>신원 검증 승인 건수 (건, 누적 목표 50)</t>
        </is>
      </c>
      <c r="B5" s="9" t="inlineStr"/>
      <c r="C5" s="10" t="inlineStr"/>
      <c r="D5" s="10" t="inlineStr"/>
      <c r="E5" s="10" t="inlineStr"/>
      <c r="F5" s="10" t="inlineStr"/>
      <c r="G5" s="10" t="inlineStr"/>
      <c r="H5" s="11">
        <f>SUM(C5:G5)</f>
        <v/>
      </c>
      <c r="I5" s="12">
        <f>IF(B5=0,"",IFERROR(H5/B5,""))</f>
        <v/>
      </c>
      <c r="J5" s="13" t="n"/>
    </row>
    <row r="6" ht="20" customHeight="1">
      <c r="A6" s="8" t="inlineStr">
        <is>
          <t>승인률 (%, 목표 80% 이상)</t>
        </is>
      </c>
      <c r="B6" s="14" t="inlineStr"/>
      <c r="C6" s="15" t="inlineStr"/>
      <c r="D6" s="15" t="inlineStr"/>
      <c r="E6" s="15" t="inlineStr"/>
      <c r="F6" s="15" t="inlineStr"/>
      <c r="G6" s="15" t="inlineStr"/>
      <c r="H6" s="16">
        <f>SUM(C6:G6)</f>
        <v/>
      </c>
      <c r="I6" s="12">
        <f>IF(B6=0,"",IFERROR(H6/B6,""))</f>
        <v/>
      </c>
      <c r="J6" s="13" t="n"/>
    </row>
    <row r="7" ht="20" customHeight="1">
      <c r="A7" s="8" t="inlineStr">
        <is>
          <t>온보딩 교육 참석률 (%, 목표 90% 이상)</t>
        </is>
      </c>
      <c r="B7" s="14" t="inlineStr"/>
      <c r="C7" s="15" t="inlineStr"/>
      <c r="D7" s="15" t="inlineStr"/>
      <c r="E7" s="15" t="inlineStr"/>
      <c r="F7" s="15" t="inlineStr"/>
      <c r="G7" s="15" t="inlineStr"/>
      <c r="H7" s="16">
        <f>SUM(C7:G7)</f>
        <v/>
      </c>
      <c r="I7" s="12">
        <f>IF(B7=0,"",IFERROR(H7/B7,""))</f>
        <v/>
      </c>
      <c r="J7" s="13" t="n"/>
    </row>
  </sheetData>
  <mergeCells count="2">
    <mergeCell ref="A1:J1"/>
    <mergeCell ref="A3:J3"/>
  </mergeCells>
  <conditionalFormatting sqref="I3:I6">
    <cfRule type="cellIs" priority="1" operator="greaterThanOrEqual" dxfId="0">
      <formula>1</formula>
    </cfRule>
    <cfRule type="cellIs" priority="2" operator="between" dxfId="1">
      <formula>0.7</formula>
      <formula>0.9999</formula>
    </cfRule>
    <cfRule type="cellIs" priority="3" operator="lessThan" dxfId="2">
      <formula>0.7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4" customWidth="1" min="8" max="8"/>
    <col width="16" customWidth="1" min="9" max="9"/>
  </cols>
  <sheetData>
    <row r="1" ht="30" customHeight="1">
      <c r="A1" s="47" t="inlineStr">
        <is>
          <t>HebronGuide 파일럿 6주 KPI 대시보드 — 방문자·매칭</t>
        </is>
      </c>
      <c r="B1" s="48" t="n"/>
      <c r="C1" s="48" t="n"/>
      <c r="D1" s="48" t="n"/>
      <c r="E1" s="48" t="n"/>
      <c r="F1" s="48" t="n"/>
      <c r="G1" s="48" t="n"/>
      <c r="H1" s="48" t="n"/>
      <c r="I1" s="48" t="n"/>
      <c r="J1" s="49" t="n"/>
    </row>
    <row r="2" ht="22" customHeight="1">
      <c r="A2" s="4" t="inlineStr">
        <is>
          <t>KPI 항목</t>
        </is>
      </c>
      <c r="B2" s="5" t="inlineStr">
        <is>
          <t>목표값</t>
        </is>
      </c>
      <c r="C2" s="5" t="inlineStr">
        <is>
          <t>1주차</t>
        </is>
      </c>
      <c r="D2" s="5" t="inlineStr">
        <is>
          <t>2주차</t>
        </is>
      </c>
      <c r="E2" s="5" t="inlineStr">
        <is>
          <t>3주차</t>
        </is>
      </c>
      <c r="F2" s="5" t="inlineStr">
        <is>
          <t>4주차</t>
        </is>
      </c>
      <c r="G2" s="5" t="inlineStr">
        <is>
          <t>5주차</t>
        </is>
      </c>
      <c r="H2" s="5" t="inlineStr">
        <is>
          <t>6주차</t>
        </is>
      </c>
      <c r="I2" s="5" t="inlineStr">
        <is>
          <t>6주 누적합계</t>
        </is>
      </c>
      <c r="J2" s="6" t="inlineStr">
        <is>
          <t>목표 달성률 (%)</t>
        </is>
      </c>
    </row>
    <row r="3" ht="22" customHeight="1">
      <c r="A3" s="7" t="inlineStr">
        <is>
          <t>방문자·매칭 KPI</t>
        </is>
      </c>
      <c r="B3" s="50" t="n"/>
      <c r="C3" s="50" t="n"/>
      <c r="D3" s="50" t="n"/>
      <c r="E3" s="50" t="n"/>
      <c r="F3" s="50" t="n"/>
      <c r="G3" s="50" t="n"/>
      <c r="H3" s="50" t="n"/>
      <c r="I3" s="50" t="n"/>
      <c r="J3" s="51" t="n"/>
    </row>
    <row r="4" ht="20" customHeight="1">
      <c r="A4" s="8" t="inlineStr">
        <is>
          <t>방문자 가입 건수 (건, 누적)</t>
        </is>
      </c>
      <c r="B4" s="9" t="inlineStr"/>
      <c r="C4" s="10" t="inlineStr"/>
      <c r="D4" s="10" t="inlineStr"/>
      <c r="E4" s="10" t="inlineStr"/>
      <c r="F4" s="10" t="inlineStr"/>
      <c r="G4" s="10" t="inlineStr"/>
      <c r="H4" s="11">
        <f>SUM(C4:G4)</f>
        <v/>
      </c>
      <c r="I4" s="13" t="inlineStr"/>
      <c r="J4" s="13" t="n"/>
    </row>
    <row r="5" ht="20" customHeight="1">
      <c r="A5" s="8" t="inlineStr">
        <is>
          <t>매칭 신청 건수 (건, 누적)</t>
        </is>
      </c>
      <c r="B5" s="9" t="inlineStr"/>
      <c r="C5" s="10" t="inlineStr"/>
      <c r="D5" s="10" t="inlineStr"/>
      <c r="E5" s="10" t="inlineStr"/>
      <c r="F5" s="10" t="inlineStr"/>
      <c r="G5" s="10" t="inlineStr"/>
      <c r="H5" s="11">
        <f>SUM(C5:G5)</f>
        <v/>
      </c>
      <c r="I5" s="13" t="inlineStr"/>
      <c r="J5" s="13" t="n"/>
    </row>
    <row r="6" ht="20" customHeight="1">
      <c r="A6" s="8" t="inlineStr">
        <is>
          <t>매칭 성사 건수 (건, 누적 목표 30)</t>
        </is>
      </c>
      <c r="B6" s="9" t="inlineStr"/>
      <c r="C6" s="10" t="inlineStr"/>
      <c r="D6" s="10" t="inlineStr"/>
      <c r="E6" s="10" t="inlineStr"/>
      <c r="F6" s="10" t="inlineStr"/>
      <c r="G6" s="10" t="inlineStr"/>
      <c r="H6" s="11">
        <f>SUM(C6:G6)</f>
        <v/>
      </c>
      <c r="I6" s="12">
        <f>IF(B6=0,"",IFERROR(H6/B6,""))</f>
        <v/>
      </c>
      <c r="J6" s="13" t="n"/>
    </row>
    <row r="7" ht="20" customHeight="1">
      <c r="A7" s="8" t="inlineStr">
        <is>
          <t>매칭 성사율 (%, 목표 75% 이상)</t>
        </is>
      </c>
      <c r="B7" s="14" t="inlineStr"/>
      <c r="C7" s="15" t="inlineStr"/>
      <c r="D7" s="15" t="inlineStr"/>
      <c r="E7" s="15" t="inlineStr"/>
      <c r="F7" s="15" t="inlineStr"/>
      <c r="G7" s="15" t="inlineStr"/>
      <c r="H7" s="16">
        <f>SUM(C7:G7)</f>
        <v/>
      </c>
      <c r="I7" s="12">
        <f>IF(B7=0,"",IFERROR(H7/B7,""))</f>
        <v/>
      </c>
      <c r="J7" s="13" t="n"/>
    </row>
    <row r="8" ht="20" customHeight="1">
      <c r="A8" s="8" t="inlineStr">
        <is>
          <t>평균 체류 기간 (일)</t>
        </is>
      </c>
      <c r="B8" s="17" t="inlineStr"/>
      <c r="C8" s="18" t="inlineStr"/>
      <c r="D8" s="18" t="inlineStr"/>
      <c r="E8" s="18" t="inlineStr"/>
      <c r="F8" s="18" t="inlineStr"/>
      <c r="G8" s="18" t="inlineStr"/>
      <c r="H8" s="19">
        <f>SUM(C8:G8)</f>
        <v/>
      </c>
      <c r="I8" s="13" t="inlineStr"/>
      <c r="J8" s="13" t="n"/>
    </row>
    <row r="9" ht="20" customHeight="1">
      <c r="A9" s="8" t="inlineStr">
        <is>
          <t>취소율 (%, 목표 10% 이하)</t>
        </is>
      </c>
      <c r="B9" s="14" t="inlineStr"/>
      <c r="C9" s="15" t="inlineStr"/>
      <c r="D9" s="15" t="inlineStr"/>
      <c r="E9" s="15" t="inlineStr"/>
      <c r="F9" s="15" t="inlineStr"/>
      <c r="G9" s="15" t="inlineStr"/>
      <c r="H9" s="16">
        <f>SUM(C9:G9)</f>
        <v/>
      </c>
      <c r="I9" s="12">
        <f>IF(B9=0,"",IFERROR(H9/B9,""))</f>
        <v/>
      </c>
      <c r="J9" s="13" t="n"/>
    </row>
  </sheetData>
  <mergeCells count="2">
    <mergeCell ref="A1:J1"/>
    <mergeCell ref="A3:J3"/>
  </mergeCells>
  <conditionalFormatting sqref="I3:I9">
    <cfRule type="cellIs" priority="1" operator="greaterThanOrEqual" dxfId="0">
      <formula>1</formula>
    </cfRule>
    <cfRule type="cellIs" priority="2" operator="between" dxfId="1">
      <formula>0.7</formula>
      <formula>0.9999</formula>
    </cfRule>
    <cfRule type="cellIs" priority="3" operator="lessThan" dxfId="2">
      <formula>0.7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4" customWidth="1" min="8" max="8"/>
    <col width="16" customWidth="1" min="9" max="9"/>
  </cols>
  <sheetData>
    <row r="1" ht="30" customHeight="1">
      <c r="A1" s="47" t="inlineStr">
        <is>
          <t>HebronGuide 파일럿 6주 KPI 대시보드 — 만족도</t>
        </is>
      </c>
      <c r="B1" s="48" t="n"/>
      <c r="C1" s="48" t="n"/>
      <c r="D1" s="48" t="n"/>
      <c r="E1" s="48" t="n"/>
      <c r="F1" s="48" t="n"/>
      <c r="G1" s="48" t="n"/>
      <c r="H1" s="48" t="n"/>
      <c r="I1" s="48" t="n"/>
      <c r="J1" s="49" t="n"/>
    </row>
    <row r="2" ht="22" customHeight="1">
      <c r="A2" s="4" t="inlineStr">
        <is>
          <t>KPI 항목</t>
        </is>
      </c>
      <c r="B2" s="5" t="inlineStr">
        <is>
          <t>목표값</t>
        </is>
      </c>
      <c r="C2" s="5" t="inlineStr">
        <is>
          <t>1주차</t>
        </is>
      </c>
      <c r="D2" s="5" t="inlineStr">
        <is>
          <t>2주차</t>
        </is>
      </c>
      <c r="E2" s="5" t="inlineStr">
        <is>
          <t>3주차</t>
        </is>
      </c>
      <c r="F2" s="5" t="inlineStr">
        <is>
          <t>4주차</t>
        </is>
      </c>
      <c r="G2" s="5" t="inlineStr">
        <is>
          <t>5주차</t>
        </is>
      </c>
      <c r="H2" s="5" t="inlineStr">
        <is>
          <t>6주차</t>
        </is>
      </c>
      <c r="I2" s="5" t="inlineStr">
        <is>
          <t>6주 누적합계</t>
        </is>
      </c>
      <c r="J2" s="6" t="inlineStr">
        <is>
          <t>목표 달성률 (%)</t>
        </is>
      </c>
    </row>
    <row r="3" ht="22" customHeight="1">
      <c r="A3" s="7" t="inlineStr">
        <is>
          <t>만족도 KPI (4주차·6주차 피드백)</t>
        </is>
      </c>
      <c r="B3" s="50" t="n"/>
      <c r="C3" s="50" t="n"/>
      <c r="D3" s="50" t="n"/>
      <c r="E3" s="50" t="n"/>
      <c r="F3" s="50" t="n"/>
      <c r="G3" s="50" t="n"/>
      <c r="H3" s="50" t="n"/>
      <c r="I3" s="50" t="n"/>
      <c r="J3" s="51" t="n"/>
    </row>
    <row r="4" ht="20" customHeight="1">
      <c r="A4" s="8" t="inlineStr">
        <is>
          <t>방문자 만족도 평균 (5점 만점, 목표 4.0 이상)</t>
        </is>
      </c>
      <c r="B4" s="17" t="inlineStr"/>
      <c r="C4" s="18" t="inlineStr"/>
      <c r="D4" s="18" t="inlineStr"/>
      <c r="E4" s="18" t="inlineStr"/>
      <c r="F4" s="18" t="inlineStr"/>
      <c r="G4" s="18" t="inlineStr"/>
      <c r="H4" s="19">
        <f>SUM(C4:G4)</f>
        <v/>
      </c>
      <c r="I4" s="12">
        <f>IF(B4=0,"",IFERROR(H4/B4,""))</f>
        <v/>
      </c>
      <c r="J4" s="13" t="n"/>
    </row>
    <row r="5" ht="20" customHeight="1">
      <c r="A5" s="8" t="inlineStr">
        <is>
          <t>호스트 만족도 평균 (5점 만점, 목표 4.0 이상)</t>
        </is>
      </c>
      <c r="B5" s="17" t="inlineStr"/>
      <c r="C5" s="18" t="inlineStr"/>
      <c r="D5" s="18" t="inlineStr"/>
      <c r="E5" s="18" t="inlineStr"/>
      <c r="F5" s="18" t="inlineStr"/>
      <c r="G5" s="18" t="inlineStr"/>
      <c r="H5" s="19">
        <f>SUM(C5:G5)</f>
        <v/>
      </c>
      <c r="I5" s="12">
        <f>IF(B5=0,"",IFERROR(H5/B5,""))</f>
        <v/>
      </c>
      <c r="J5" s="13" t="n"/>
    </row>
    <row r="6" ht="20" customHeight="1">
      <c r="A6" s="8" t="inlineStr">
        <is>
          <t>파트너 교회 만족도 (5점 만점, 목표 4.0 이상)</t>
        </is>
      </c>
      <c r="B6" s="17" t="inlineStr"/>
      <c r="C6" s="18" t="inlineStr"/>
      <c r="D6" s="18" t="inlineStr"/>
      <c r="E6" s="18" t="inlineStr"/>
      <c r="F6" s="18" t="inlineStr"/>
      <c r="G6" s="18" t="inlineStr"/>
      <c r="H6" s="19">
        <f>SUM(C6:G6)</f>
        <v/>
      </c>
      <c r="I6" s="12">
        <f>IF(B6=0,"",IFERROR(H6/B6,""))</f>
        <v/>
      </c>
      <c r="J6" s="13" t="n"/>
    </row>
    <row r="7" ht="20" customHeight="1">
      <c r="A7" s="8" t="inlineStr">
        <is>
          <t>파트너 사업체 만족도 (5점 만점, 목표 4.0 이상)</t>
        </is>
      </c>
      <c r="B7" s="17" t="inlineStr"/>
      <c r="C7" s="18" t="inlineStr"/>
      <c r="D7" s="18" t="inlineStr"/>
      <c r="E7" s="18" t="inlineStr"/>
      <c r="F7" s="18" t="inlineStr"/>
      <c r="G7" s="18" t="inlineStr"/>
      <c r="H7" s="19">
        <f>SUM(C7:G7)</f>
        <v/>
      </c>
      <c r="I7" s="12">
        <f>IF(B7=0,"",IFERROR(H7/B7,""))</f>
        <v/>
      </c>
      <c r="J7" s="13" t="n"/>
    </row>
    <row r="8" ht="20" customHeight="1">
      <c r="A8" s="8" t="inlineStr">
        <is>
          <t>재참여 의향률 (%, 목표 70% 이상)</t>
        </is>
      </c>
      <c r="B8" s="14" t="inlineStr"/>
      <c r="C8" s="15" t="inlineStr"/>
      <c r="D8" s="15" t="inlineStr"/>
      <c r="E8" s="15" t="inlineStr"/>
      <c r="F8" s="15" t="inlineStr"/>
      <c r="G8" s="15" t="inlineStr"/>
      <c r="H8" s="16">
        <f>SUM(C8:G8)</f>
        <v/>
      </c>
      <c r="I8" s="12">
        <f>IF(B8=0,"",IFERROR(H8/B8,""))</f>
        <v/>
      </c>
      <c r="J8" s="13" t="n"/>
    </row>
  </sheetData>
  <mergeCells count="2">
    <mergeCell ref="A1:J1"/>
    <mergeCell ref="A3:J3"/>
  </mergeCells>
  <conditionalFormatting sqref="I3:I7">
    <cfRule type="cellIs" priority="1" operator="greaterThanOrEqual" dxfId="0">
      <formula>1</formula>
    </cfRule>
    <cfRule type="cellIs" priority="2" operator="between" dxfId="1">
      <formula>0.7</formula>
      <formula>0.9999</formula>
    </cfRule>
    <cfRule type="cellIs" priority="3" operator="lessThan" dxfId="2">
      <formula>0.7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4" customWidth="1" min="8" max="8"/>
    <col width="16" customWidth="1" min="9" max="9"/>
  </cols>
  <sheetData>
    <row r="1" ht="30" customHeight="1">
      <c r="A1" s="47" t="inlineStr">
        <is>
          <t>HebronGuide 파일럿 6주 KPI 대시보드 — 안전·운영</t>
        </is>
      </c>
      <c r="B1" s="48" t="n"/>
      <c r="C1" s="48" t="n"/>
      <c r="D1" s="48" t="n"/>
      <c r="E1" s="48" t="n"/>
      <c r="F1" s="48" t="n"/>
      <c r="G1" s="48" t="n"/>
      <c r="H1" s="48" t="n"/>
      <c r="I1" s="48" t="n"/>
      <c r="J1" s="49" t="n"/>
    </row>
    <row r="2" ht="22" customHeight="1">
      <c r="A2" s="4" t="inlineStr">
        <is>
          <t>KPI 항목</t>
        </is>
      </c>
      <c r="B2" s="5" t="inlineStr">
        <is>
          <t>목표값</t>
        </is>
      </c>
      <c r="C2" s="5" t="inlineStr">
        <is>
          <t>1주차</t>
        </is>
      </c>
      <c r="D2" s="5" t="inlineStr">
        <is>
          <t>2주차</t>
        </is>
      </c>
      <c r="E2" s="5" t="inlineStr">
        <is>
          <t>3주차</t>
        </is>
      </c>
      <c r="F2" s="5" t="inlineStr">
        <is>
          <t>4주차</t>
        </is>
      </c>
      <c r="G2" s="5" t="inlineStr">
        <is>
          <t>5주차</t>
        </is>
      </c>
      <c r="H2" s="5" t="inlineStr">
        <is>
          <t>6주차</t>
        </is>
      </c>
      <c r="I2" s="5" t="inlineStr">
        <is>
          <t>6주 누적합계</t>
        </is>
      </c>
      <c r="J2" s="6" t="inlineStr">
        <is>
          <t>목표 달성률 (%)</t>
        </is>
      </c>
    </row>
    <row r="3" ht="22" customHeight="1">
      <c r="A3" s="7" t="inlineStr">
        <is>
          <t>안전·운영 KPI</t>
        </is>
      </c>
      <c r="B3" s="50" t="n"/>
      <c r="C3" s="50" t="n"/>
      <c r="D3" s="50" t="n"/>
      <c r="E3" s="50" t="n"/>
      <c r="F3" s="50" t="n"/>
      <c r="G3" s="50" t="n"/>
      <c r="H3" s="50" t="n"/>
      <c r="I3" s="50" t="n"/>
      <c r="J3" s="51" t="n"/>
    </row>
    <row r="4" ht="20" customHeight="1">
      <c r="A4" s="8" t="inlineStr">
        <is>
          <t>신고 건수 (건, 주차별)</t>
        </is>
      </c>
      <c r="B4" s="9" t="inlineStr"/>
      <c r="C4" s="10" t="inlineStr"/>
      <c r="D4" s="10" t="inlineStr"/>
      <c r="E4" s="10" t="inlineStr"/>
      <c r="F4" s="10" t="inlineStr"/>
      <c r="G4" s="10" t="inlineStr"/>
      <c r="H4" s="11">
        <f>SUM(C4:G4)</f>
        <v/>
      </c>
      <c r="I4" s="13" t="inlineStr"/>
      <c r="J4" s="13" t="n"/>
    </row>
    <row r="5" ht="20" customHeight="1">
      <c r="A5" s="8" t="inlineStr">
        <is>
          <t>신고 해결률 (%, 목표 100%)</t>
        </is>
      </c>
      <c r="B5" s="14" t="inlineStr"/>
      <c r="C5" s="15" t="inlineStr"/>
      <c r="D5" s="15" t="inlineStr"/>
      <c r="E5" s="15" t="inlineStr"/>
      <c r="F5" s="15" t="inlineStr"/>
      <c r="G5" s="15" t="inlineStr"/>
      <c r="H5" s="16">
        <f>SUM(C5:G5)</f>
        <v/>
      </c>
      <c r="I5" s="12">
        <f>IF(B5=0,"",IFERROR(H5/B5,""))</f>
        <v/>
      </c>
      <c r="J5" s="13" t="n"/>
    </row>
    <row r="6" ht="20" customHeight="1">
      <c r="A6" s="8" t="inlineStr">
        <is>
          <t>평균 신고 대응 시간 (시간, 목표 24시간 내)</t>
        </is>
      </c>
      <c r="B6" s="17" t="inlineStr"/>
      <c r="C6" s="18" t="inlineStr"/>
      <c r="D6" s="18" t="inlineStr"/>
      <c r="E6" s="18" t="inlineStr"/>
      <c r="F6" s="18" t="inlineStr"/>
      <c r="G6" s="18" t="inlineStr"/>
      <c r="H6" s="19">
        <f>SUM(C6:G6)</f>
        <v/>
      </c>
      <c r="I6" s="12">
        <f>IF(B6=0,"",IFERROR(H6/B6,""))</f>
        <v/>
      </c>
      <c r="J6" s="13" t="n"/>
    </row>
    <row r="7" ht="20" customHeight="1">
      <c r="A7" s="8" t="inlineStr">
        <is>
          <t>분쟁 건수 (건)</t>
        </is>
      </c>
      <c r="B7" s="9" t="inlineStr"/>
      <c r="C7" s="10" t="inlineStr"/>
      <c r="D7" s="10" t="inlineStr"/>
      <c r="E7" s="10" t="inlineStr"/>
      <c r="F7" s="10" t="inlineStr"/>
      <c r="G7" s="10" t="inlineStr"/>
      <c r="H7" s="11">
        <f>SUM(C7:G7)</f>
        <v/>
      </c>
      <c r="I7" s="13" t="inlineStr"/>
      <c r="J7" s="13" t="n"/>
    </row>
    <row r="8" ht="20" customHeight="1">
      <c r="A8" s="8" t="inlineStr">
        <is>
          <t>환불 건수 (건)</t>
        </is>
      </c>
      <c r="B8" s="9" t="inlineStr"/>
      <c r="C8" s="10" t="inlineStr"/>
      <c r="D8" s="10" t="inlineStr"/>
      <c r="E8" s="10" t="inlineStr"/>
      <c r="F8" s="10" t="inlineStr"/>
      <c r="G8" s="10" t="inlineStr"/>
      <c r="H8" s="11">
        <f>SUM(C8:G8)</f>
        <v/>
      </c>
      <c r="I8" s="13" t="inlineStr"/>
      <c r="J8" s="13" t="n"/>
    </row>
  </sheetData>
  <mergeCells count="2">
    <mergeCell ref="A1:J1"/>
    <mergeCell ref="A3:J3"/>
  </mergeCells>
  <conditionalFormatting sqref="I3:I7">
    <cfRule type="cellIs" priority="1" operator="greaterThanOrEqual" dxfId="0">
      <formula>1</formula>
    </cfRule>
    <cfRule type="cellIs" priority="2" operator="between" dxfId="1">
      <formula>0.7</formula>
      <formula>0.9999</formula>
    </cfRule>
    <cfRule type="cellIs" priority="3" operator="lessThan" dxfId="2">
      <formula>0.7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4" customWidth="1" min="8" max="8"/>
    <col width="16" customWidth="1" min="9" max="9"/>
  </cols>
  <sheetData>
    <row r="1" ht="30" customHeight="1">
      <c r="A1" s="47" t="inlineStr">
        <is>
          <t>HebronGuide 파일럿 6주 KPI 대시보드 — 콘텐츠·SNS</t>
        </is>
      </c>
      <c r="B1" s="48" t="n"/>
      <c r="C1" s="48" t="n"/>
      <c r="D1" s="48" t="n"/>
      <c r="E1" s="48" t="n"/>
      <c r="F1" s="48" t="n"/>
      <c r="G1" s="48" t="n"/>
      <c r="H1" s="48" t="n"/>
      <c r="I1" s="48" t="n"/>
      <c r="J1" s="49" t="n"/>
    </row>
    <row r="2" ht="22" customHeight="1">
      <c r="A2" s="4" t="inlineStr">
        <is>
          <t>KPI 항목</t>
        </is>
      </c>
      <c r="B2" s="5" t="inlineStr">
        <is>
          <t>목표값</t>
        </is>
      </c>
      <c r="C2" s="5" t="inlineStr">
        <is>
          <t>1주차</t>
        </is>
      </c>
      <c r="D2" s="5" t="inlineStr">
        <is>
          <t>2주차</t>
        </is>
      </c>
      <c r="E2" s="5" t="inlineStr">
        <is>
          <t>3주차</t>
        </is>
      </c>
      <c r="F2" s="5" t="inlineStr">
        <is>
          <t>4주차</t>
        </is>
      </c>
      <c r="G2" s="5" t="inlineStr">
        <is>
          <t>5주차</t>
        </is>
      </c>
      <c r="H2" s="5" t="inlineStr">
        <is>
          <t>6주차</t>
        </is>
      </c>
      <c r="I2" s="5" t="inlineStr">
        <is>
          <t>6주 누적합계</t>
        </is>
      </c>
      <c r="J2" s="6" t="inlineStr">
        <is>
          <t>목표 달성률 (%)</t>
        </is>
      </c>
    </row>
    <row r="3" ht="22" customHeight="1">
      <c r="A3" s="7" t="inlineStr">
        <is>
          <t>콘텐츠·SNS KPI</t>
        </is>
      </c>
      <c r="B3" s="50" t="n"/>
      <c r="C3" s="50" t="n"/>
      <c r="D3" s="50" t="n"/>
      <c r="E3" s="50" t="n"/>
      <c r="F3" s="50" t="n"/>
      <c r="G3" s="50" t="n"/>
      <c r="H3" s="50" t="n"/>
      <c r="I3" s="50" t="n"/>
      <c r="J3" s="51" t="n"/>
    </row>
    <row r="4" ht="20" customHeight="1">
      <c r="A4" s="8" t="inlineStr">
        <is>
          <t>주차별 게시물 수 (건, 목표 주 2~3건)</t>
        </is>
      </c>
      <c r="B4" s="9" t="inlineStr"/>
      <c r="C4" s="10" t="inlineStr"/>
      <c r="D4" s="10" t="inlineStr"/>
      <c r="E4" s="10" t="inlineStr"/>
      <c r="F4" s="10" t="inlineStr"/>
      <c r="G4" s="10" t="inlineStr"/>
      <c r="H4" s="11">
        <f>SUM(C4:G4)</f>
        <v/>
      </c>
      <c r="I4" s="12">
        <f>IF(B4=0,"",IFERROR(H4/B4,""))</f>
        <v/>
      </c>
      <c r="J4" s="13" t="n"/>
    </row>
    <row r="5" ht="20" customHeight="1">
      <c r="A5" s="8" t="inlineStr">
        <is>
          <t>누적 팔로워 수 (명)</t>
        </is>
      </c>
      <c r="B5" s="9" t="inlineStr"/>
      <c r="C5" s="10" t="inlineStr"/>
      <c r="D5" s="10" t="inlineStr"/>
      <c r="E5" s="10" t="inlineStr"/>
      <c r="F5" s="10" t="inlineStr"/>
      <c r="G5" s="10" t="inlineStr"/>
      <c r="H5" s="11">
        <f>SUM(C5:G5)</f>
        <v/>
      </c>
      <c r="I5" s="13" t="inlineStr"/>
      <c r="J5" s="13" t="n"/>
    </row>
    <row r="6" ht="20" customHeight="1">
      <c r="A6" s="8" t="inlineStr">
        <is>
          <t>평균 도달 (reach) 수 (건)</t>
        </is>
      </c>
      <c r="B6" s="20" t="inlineStr"/>
      <c r="C6" s="21" t="inlineStr"/>
      <c r="D6" s="21" t="inlineStr"/>
      <c r="E6" s="21" t="inlineStr"/>
      <c r="F6" s="21" t="inlineStr"/>
      <c r="G6" s="21" t="inlineStr"/>
      <c r="H6" s="22">
        <f>SUM(C6:G6)</f>
        <v/>
      </c>
      <c r="I6" s="13" t="inlineStr"/>
      <c r="J6" s="13" t="n"/>
    </row>
    <row r="7" ht="20" customHeight="1">
      <c r="A7" s="8" t="inlineStr">
        <is>
          <t>참여율 engagement rate (%, 목표 3% 이상)</t>
        </is>
      </c>
      <c r="B7" s="23" t="inlineStr"/>
      <c r="C7" s="24" t="inlineStr"/>
      <c r="D7" s="24" t="inlineStr"/>
      <c r="E7" s="24" t="inlineStr"/>
      <c r="F7" s="24" t="inlineStr"/>
      <c r="G7" s="24" t="inlineStr"/>
      <c r="H7" s="25">
        <f>SUM(C7:G7)</f>
        <v/>
      </c>
      <c r="I7" s="12">
        <f>IF(B7=0,"",IFERROR(H7/B7,""))</f>
        <v/>
      </c>
      <c r="J7" s="13" t="n"/>
    </row>
  </sheetData>
  <mergeCells count="2">
    <mergeCell ref="A1:J1"/>
    <mergeCell ref="A3:J3"/>
  </mergeCells>
  <conditionalFormatting sqref="I3:I6">
    <cfRule type="cellIs" priority="1" operator="greaterThanOrEqual" dxfId="0">
      <formula>1</formula>
    </cfRule>
    <cfRule type="cellIs" priority="2" operator="between" dxfId="1">
      <formula>0.7</formula>
      <formula>0.9999</formula>
    </cfRule>
    <cfRule type="cellIs" priority="3" operator="lessThan" dxfId="2">
      <formula>0.7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2026-06-13T06:03:34Z</dcterms:created>
  <dcterms:modified xmlns:dcterms="http://purl.org/dc/terms/" xmlns:xsi="http://www.w3.org/2001/XMLSchema-instance" xsi:type="dcterms:W3CDTF">2026-06-13T06:04:24Z</dcterms:modified>
</cp:coreProperties>
</file>